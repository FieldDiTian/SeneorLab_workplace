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<sst xmlns="http://schemas.openxmlformats.org/spreadsheetml/2006/main" uniqueCount="21">
  <si>
    <t>0.14 (-5)</t>
  </si>
  <si>
    <t>NaCl in Sweat (mmol/L)</t>
  </si>
  <si>
    <t>KCl in Sweat (mmol/L)</t>
  </si>
  <si>
    <t>Urea in Sweat (mmol/L)</t>
  </si>
  <si>
    <t>Na-Lactate in Sweat (mmol/L)</t>
  </si>
  <si>
    <t>NH4Cl in Sweat (mmol/L)</t>
  </si>
  <si>
    <t>CaCl2 in Sweat (mmol/L)</t>
  </si>
  <si>
    <t>MgCl2 in Sweat (mmol/L)</t>
  </si>
  <si>
    <t>0.12 (-3)</t>
  </si>
  <si>
    <t>Analytes</t>
  </si>
  <si>
    <t>Concentrtaion (mmol/L)</t>
  </si>
  <si>
    <t>Molar Mass (g/mol)</t>
  </si>
  <si>
    <t>Liquid (L)</t>
  </si>
  <si>
    <t>Mass (g)</t>
  </si>
  <si>
    <t>NaCl</t>
  </si>
  <si>
    <t>KCl</t>
  </si>
  <si>
    <t>Urea</t>
  </si>
  <si>
    <t>Na-Lactate</t>
  </si>
  <si>
    <t>NH4Cl</t>
  </si>
  <si>
    <t>CaCl2</t>
  </si>
  <si>
    <t>Glucose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</si>
</sst>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D22"/>
  <sheetViews>
    <sheetView workbookViewId="0" showGridLines="0" defaultGridColor="1"/>
  </sheetViews>
  <sheetFormatPr defaultColWidth="12.6667" defaultRowHeight="15.75" customHeight="1" outlineLevelRow="0" outlineLevelCol="0"/>
  <cols>
    <col min="1" max="1" width="11.6719" style="1" customWidth="1"/>
    <col min="2" max="2" width="20" style="1" customWidth="1"/>
    <col min="3" max="3" width="16.3516" style="1" customWidth="1"/>
    <col min="4" max="5" width="11.6719" style="1" customWidth="1"/>
    <col min="6" max="30" width="12.6719" style="1" customWidth="1"/>
    <col min="31" max="16384" width="12.6719" style="1" customWidth="1"/>
  </cols>
  <sheetData>
    <row r="1" ht="13.65" customHeight="1">
      <c r="A1" t="s" s="2">
        <v>0</v>
      </c>
      <c r="B1" s="3"/>
      <c r="C1" s="3"/>
      <c r="D1" s="3"/>
      <c r="E1" t="s" s="2">
        <v>1</v>
      </c>
      <c r="F1" s="4"/>
      <c r="G1" s="3"/>
      <c r="H1" t="s" s="2">
        <v>2</v>
      </c>
      <c r="I1" s="4"/>
      <c r="J1" s="3"/>
      <c r="K1" t="s" s="2">
        <v>3</v>
      </c>
      <c r="L1" s="4"/>
      <c r="M1" s="3"/>
      <c r="N1" t="s" s="2">
        <v>4</v>
      </c>
      <c r="O1" s="4"/>
      <c r="P1" s="3"/>
      <c r="Q1" t="s" s="2">
        <v>5</v>
      </c>
      <c r="R1" s="4"/>
      <c r="S1" s="3"/>
      <c r="T1" t="s" s="2">
        <v>6</v>
      </c>
      <c r="U1" s="4"/>
      <c r="V1" s="3"/>
      <c r="W1" t="s" s="2">
        <v>7</v>
      </c>
      <c r="X1" s="4"/>
      <c r="Y1" s="3"/>
      <c r="Z1" s="3"/>
      <c r="AA1" s="3"/>
      <c r="AB1" s="3"/>
      <c r="AC1" s="3"/>
      <c r="AD1" s="3"/>
    </row>
    <row r="2" ht="13.65" customHeight="1">
      <c r="A2" t="s" s="5">
        <v>8</v>
      </c>
      <c r="B2" s="4"/>
      <c r="C2" s="4"/>
      <c r="D2" s="4"/>
      <c r="E2" s="6">
        <v>10</v>
      </c>
      <c r="F2" s="6">
        <v>90</v>
      </c>
      <c r="G2" s="4"/>
      <c r="H2" s="6">
        <v>2</v>
      </c>
      <c r="I2" s="6">
        <v>10</v>
      </c>
      <c r="J2" s="4"/>
      <c r="K2" s="6">
        <v>20</v>
      </c>
      <c r="L2" s="6">
        <v>30</v>
      </c>
      <c r="M2" s="4"/>
      <c r="N2" s="6">
        <v>5</v>
      </c>
      <c r="O2" s="6">
        <v>15</v>
      </c>
      <c r="P2" s="4"/>
      <c r="Q2" s="6">
        <v>1.8</v>
      </c>
      <c r="R2" s="6">
        <v>4.2</v>
      </c>
      <c r="S2" s="4"/>
      <c r="T2" s="6">
        <v>0.2</v>
      </c>
      <c r="U2" s="6">
        <v>5</v>
      </c>
      <c r="V2" s="4"/>
      <c r="W2" s="6">
        <v>0.1</v>
      </c>
      <c r="X2" s="6">
        <v>0.5</v>
      </c>
      <c r="Y2" s="4"/>
      <c r="Z2" s="4"/>
      <c r="AA2" s="4"/>
      <c r="AB2" s="4"/>
      <c r="AC2" s="4"/>
      <c r="AD2" s="4"/>
    </row>
    <row r="3" ht="13.6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3.65" customHeight="1">
      <c r="A4" t="s" s="2">
        <v>9</v>
      </c>
      <c r="B4" t="s" s="2">
        <v>10</v>
      </c>
      <c r="C4" t="s" s="2">
        <v>11</v>
      </c>
      <c r="D4" t="s" s="2">
        <v>12</v>
      </c>
      <c r="E4" t="s" s="2">
        <v>13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13.65" customHeight="1">
      <c r="A5" t="s" s="2">
        <v>14</v>
      </c>
      <c r="B5" s="6">
        <v>90</v>
      </c>
      <c r="C5" s="6">
        <v>58.44</v>
      </c>
      <c r="D5" s="6">
        <v>0.2</v>
      </c>
      <c r="E5" s="6" cm="1">
        <f t="array" ref="E5">B5*0.001*C5*D5</f>
        <v>1.05192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13.65" customHeight="1">
      <c r="A6" t="s" s="2">
        <v>15</v>
      </c>
      <c r="B6" s="6">
        <v>10</v>
      </c>
      <c r="C6" s="6">
        <v>74.55</v>
      </c>
      <c r="D6" s="6">
        <v>0.2</v>
      </c>
      <c r="E6" s="6" cm="1">
        <f t="array" ref="E6">B6*0.001*C6*D6</f>
        <v>0.1491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3.65" customHeight="1">
      <c r="A7" t="s" s="2">
        <v>16</v>
      </c>
      <c r="B7" s="6">
        <v>30</v>
      </c>
      <c r="C7" s="6">
        <v>60.06</v>
      </c>
      <c r="D7" s="6">
        <v>0.2</v>
      </c>
      <c r="E7" s="6" cm="1">
        <f t="array" ref="E7">B7*0.001*C7*D7</f>
        <v>0.36036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13.65" customHeight="1">
      <c r="A8" t="s" s="2">
        <v>17</v>
      </c>
      <c r="B8" s="6">
        <v>15</v>
      </c>
      <c r="C8" s="6">
        <v>112.06</v>
      </c>
      <c r="D8" s="6">
        <v>0.2</v>
      </c>
      <c r="E8" s="6" cm="1">
        <f t="array" ref="E8">B8*0.001*C8*D8</f>
        <v>0.33618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13.65" customHeight="1">
      <c r="A9" t="s" s="2">
        <v>18</v>
      </c>
      <c r="B9" s="6">
        <v>4.2</v>
      </c>
      <c r="C9" s="6">
        <v>53.49</v>
      </c>
      <c r="D9" s="6">
        <v>0.2</v>
      </c>
      <c r="E9" s="6" cm="1">
        <f t="array" ref="E9">B9*0.001*C9*D9</f>
        <v>0.0449316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13.65" customHeight="1">
      <c r="A10" t="s" s="2">
        <v>19</v>
      </c>
      <c r="B10" s="6">
        <v>5</v>
      </c>
      <c r="C10" s="6">
        <v>110.98</v>
      </c>
      <c r="D10" s="6">
        <v>0.2</v>
      </c>
      <c r="E10" s="6" cm="1">
        <f t="array" ref="E10">B10*0.001*C10*D10</f>
        <v>0.11098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13.65" customHeight="1">
      <c r="A11" t="s" s="5">
        <v>20</v>
      </c>
      <c r="B11" s="6">
        <v>0.5</v>
      </c>
      <c r="C11" s="6">
        <v>95.20999999999999</v>
      </c>
      <c r="D11" s="6">
        <v>0.2</v>
      </c>
      <c r="E11" s="6" cm="1">
        <f t="array" ref="E11">B11*0.001*C11*D11</f>
        <v>0.009521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13.6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13.6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13.6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13.65" customHeight="1">
      <c r="A15" t="s" s="2">
        <v>9</v>
      </c>
      <c r="B15" t="s" s="2">
        <v>10</v>
      </c>
      <c r="C15" t="s" s="2">
        <v>11</v>
      </c>
      <c r="D15" t="s" s="2">
        <v>12</v>
      </c>
      <c r="E15" t="s" s="2">
        <v>13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13.65" customHeight="1">
      <c r="A16" t="s" s="2">
        <v>14</v>
      </c>
      <c r="B16" s="6">
        <v>90</v>
      </c>
      <c r="C16" s="6">
        <v>58.44</v>
      </c>
      <c r="D16" s="6">
        <v>0.25</v>
      </c>
      <c r="E16" s="6" cm="1">
        <f t="array" ref="E16">B16*0.001*C16*D16</f>
        <v>1.3149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13.65" customHeight="1">
      <c r="A17" t="s" s="2">
        <v>15</v>
      </c>
      <c r="B17" s="6">
        <v>10</v>
      </c>
      <c r="C17" s="6">
        <v>74.55</v>
      </c>
      <c r="D17" s="6">
        <v>0.25</v>
      </c>
      <c r="E17" s="6" cm="1">
        <f t="array" ref="E17">B17*0.001*C17*D17</f>
        <v>0.186375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3.65" customHeight="1">
      <c r="A18" t="s" s="2">
        <v>16</v>
      </c>
      <c r="B18" s="6">
        <v>30</v>
      </c>
      <c r="C18" s="6">
        <v>60.06</v>
      </c>
      <c r="D18" s="6">
        <v>0.25</v>
      </c>
      <c r="E18" s="6" cm="1">
        <f t="array" ref="E18">B18*0.001*C18*D18</f>
        <v>0.45045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13.65" customHeight="1">
      <c r="A19" t="s" s="2">
        <v>17</v>
      </c>
      <c r="B19" s="6">
        <v>15</v>
      </c>
      <c r="C19" s="6">
        <v>112.06</v>
      </c>
      <c r="D19" s="6">
        <v>0.25</v>
      </c>
      <c r="E19" s="6" cm="1">
        <f t="array" ref="E19">B19*0.001*C19*D19</f>
        <v>0.420225</v>
      </c>
      <c r="F19" s="6">
        <v>0.398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3.65" customHeight="1">
      <c r="A20" t="s" s="2">
        <v>18</v>
      </c>
      <c r="B20" s="6">
        <v>4.2</v>
      </c>
      <c r="C20" s="6">
        <v>53.49</v>
      </c>
      <c r="D20" s="6">
        <v>0.25</v>
      </c>
      <c r="E20" s="6" cm="1">
        <f t="array" ref="E20">B20*0.001*C20*D20</f>
        <v>0.0561645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3.65" customHeight="1">
      <c r="A21" t="s" s="2">
        <v>19</v>
      </c>
      <c r="B21" s="6">
        <v>5</v>
      </c>
      <c r="C21" s="6">
        <v>110.98</v>
      </c>
      <c r="D21" s="6">
        <v>0.25</v>
      </c>
      <c r="E21" s="6" cm="1">
        <f t="array" ref="E21">B21*0.001*C21*D21</f>
        <v>0.138725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3.65" customHeight="1">
      <c r="A22" t="s" s="5">
        <v>20</v>
      </c>
      <c r="B22" s="6">
        <v>0.5</v>
      </c>
      <c r="C22" s="6">
        <v>95.20999999999999</v>
      </c>
      <c r="D22" s="6">
        <v>0.25</v>
      </c>
      <c r="E22" s="6" cm="1">
        <f t="array" ref="E22">B22*0.001*C22*D22</f>
        <v>0.01190125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</sheetData>
  <mergeCells count="7">
    <mergeCell ref="E1:F1"/>
    <mergeCell ref="H1:I1"/>
    <mergeCell ref="K1:L1"/>
    <mergeCell ref="N1:O1"/>
    <mergeCell ref="Q1:R1"/>
    <mergeCell ref="T1:U1"/>
    <mergeCell ref="W1:X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